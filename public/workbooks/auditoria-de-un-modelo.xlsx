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Supuestos" sheetId="2" state="visible" r:id="rId2"/>
    <sheet name="Modelo" sheetId="3" state="visible" r:id="rId3"/>
    <sheet name="Comprob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9" fontId="0" fillId="2" borderId="0" pivotButton="0" quotePrefix="0" xfId="0"/>
    <xf numFmtId="4" fontId="0" fillId="2" borderId="0" pivotButton="0" quotePrefix="0" xfId="0"/>
    <xf numFmtId="3" fontId="0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Data Analyst Academy · Auditoría de un modelo con errores</t>
        </is>
      </c>
    </row>
    <row r="2">
      <c r="A2" s="2" t="inlineStr"/>
    </row>
    <row r="3">
      <c r="A3" s="2" t="inlineStr">
        <is>
          <t>Objetivo: encontrar y corregir SIETE errores sembrados en el modelo de resultados de 2025.</t>
        </is>
      </c>
    </row>
    <row r="4">
      <c r="A4" s="2" t="inlineStr">
        <is>
          <t>Cómo trabajar: usa Fórmulas &gt; Auditoría de fórmulas (precedentes, dependientes, evaluar) y Ctrl+` para ver fórmulas.</t>
        </is>
      </c>
    </row>
    <row r="5">
      <c r="A5" s="2" t="inlineStr">
        <is>
          <t>Corrige las fórmulas (no pegues valores). Cuando todos los controles de «Comprobacion» estén en ✔, has terminado.</t>
        </is>
      </c>
    </row>
    <row r="6">
      <c r="A6" s="2" t="inlineStr">
        <is>
          <t>Después compara con el libro de solución, donde la hoja «Errores» describe cada fallo.</t>
        </is>
      </c>
    </row>
    <row r="7">
      <c r="A7" s="2" t="inlineStr"/>
    </row>
    <row r="8">
      <c r="A8" s="2" t="inlineStr">
        <is>
          <t>Cómo se corrige: la hoja «Comprobacion» compara tu respuesta con el valor esperado y marca ✔ o ✘.</t>
        </is>
      </c>
    </row>
    <row r="9">
      <c r="A9" s="2" t="inlineStr">
        <is>
          <t>Datos: muestra reproducible del dataset sintético Lumen (semilla fija). No son datos reales.</t>
        </is>
      </c>
    </row>
    <row r="10">
      <c r="A10" s="2" t="inlineStr">
        <is>
          <t>Nombres de función: se muestran en español / inglés. El archivo guarda siempre los nombres en inglés.</t>
        </is>
      </c>
    </row>
    <row r="11">
      <c r="A11" s="2" t="inlineStr">
        <is>
          <t>Separadores: en un Excel en español de España los argumentos se separan con «;» y el decimal es «,».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3" t="inlineStr">
        <is>
          <t>Supuestos</t>
        </is>
      </c>
    </row>
    <row r="2">
      <c r="A2" t="inlineStr">
        <is>
          <t>Descuento medio sobre el precio bruto</t>
        </is>
      </c>
      <c r="B2" s="4" t="n">
        <v>0.08</v>
      </c>
    </row>
    <row r="3">
      <c r="A3" t="inlineStr">
        <is>
          <t>Coste unitario (€ por unidad)</t>
        </is>
      </c>
      <c r="B3" s="5" t="n">
        <v>44.69</v>
      </c>
    </row>
    <row r="4">
      <c r="A4" t="inlineStr">
        <is>
          <t>Gastos fijos mensuales (€)</t>
        </is>
      </c>
      <c r="B4" s="6" t="n">
        <v>532000</v>
      </c>
    </row>
    <row r="5">
      <c r="A5" t="inlineStr">
        <is>
          <t>Tipo impositivo</t>
        </is>
      </c>
      <c r="B5" s="7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" t="inlineStr">
        <is>
          <t>Modelo de resultados 2025 (euros)</t>
        </is>
      </c>
    </row>
    <row r="4">
      <c r="A4" s="8" t="inlineStr">
        <is>
          <t>Concepto</t>
        </is>
      </c>
      <c r="B4" s="8" t="inlineStr">
        <is>
          <t>ene</t>
        </is>
      </c>
      <c r="C4" s="8" t="inlineStr">
        <is>
          <t>feb</t>
        </is>
      </c>
      <c r="D4" s="8" t="inlineStr">
        <is>
          <t>mar</t>
        </is>
      </c>
      <c r="E4" s="8" t="inlineStr">
        <is>
          <t>abr</t>
        </is>
      </c>
      <c r="F4" s="8" t="inlineStr">
        <is>
          <t>may</t>
        </is>
      </c>
      <c r="G4" s="8" t="inlineStr">
        <is>
          <t>jun</t>
        </is>
      </c>
      <c r="H4" s="8" t="inlineStr">
        <is>
          <t>jul</t>
        </is>
      </c>
      <c r="I4" s="8" t="inlineStr">
        <is>
          <t>ago</t>
        </is>
      </c>
      <c r="J4" s="8" t="inlineStr">
        <is>
          <t>sep</t>
        </is>
      </c>
      <c r="K4" s="8" t="inlineStr">
        <is>
          <t>oct</t>
        </is>
      </c>
      <c r="L4" s="8" t="inlineStr">
        <is>
          <t>nov</t>
        </is>
      </c>
      <c r="M4" s="8" t="inlineStr">
        <is>
          <t>dic</t>
        </is>
      </c>
      <c r="N4" s="8" t="inlineStr">
        <is>
          <t>Total 2025</t>
        </is>
      </c>
    </row>
    <row r="5">
      <c r="A5" t="inlineStr">
        <is>
          <t>Unidades</t>
        </is>
      </c>
      <c r="B5" s="6" t="n">
        <v>37267</v>
      </c>
      <c r="C5" s="6" t="n">
        <v>38240</v>
      </c>
      <c r="D5" s="6" t="inlineStr">
        <is>
          <t>37636</t>
        </is>
      </c>
      <c r="E5" s="6" t="n">
        <v>37608</v>
      </c>
      <c r="F5" s="6" t="n">
        <v>41377</v>
      </c>
      <c r="G5" s="6" t="n">
        <v>41407</v>
      </c>
      <c r="H5" s="6" t="n">
        <v>54431</v>
      </c>
      <c r="I5" s="6" t="n">
        <v>58607</v>
      </c>
      <c r="J5" s="6" t="n">
        <v>49471</v>
      </c>
      <c r="K5" s="6" t="n">
        <v>55331</v>
      </c>
      <c r="L5" s="6" t="n">
        <v>55788</v>
      </c>
      <c r="M5" s="6" t="n">
        <v>63315</v>
      </c>
      <c r="N5" s="9">
        <f>SUM(B5:M5)</f>
        <v/>
      </c>
    </row>
    <row r="6">
      <c r="A6" t="inlineStr">
        <is>
          <t>Precio bruto medio (€)</t>
        </is>
      </c>
      <c r="B6" s="5" t="n">
        <v>74.62</v>
      </c>
      <c r="C6" s="5" t="n">
        <v>71.04000000000001</v>
      </c>
      <c r="D6" s="5" t="n">
        <v>87.75</v>
      </c>
      <c r="E6" s="5" t="n">
        <v>86.43000000000001</v>
      </c>
      <c r="F6" s="5" t="n">
        <v>85.89</v>
      </c>
      <c r="G6" s="5" t="n">
        <v>85.16</v>
      </c>
      <c r="H6" s="5" t="n">
        <v>72.05</v>
      </c>
      <c r="I6" s="5" t="n">
        <v>72.59999999999999</v>
      </c>
      <c r="J6" s="5" t="n">
        <v>86.53</v>
      </c>
      <c r="K6" s="5" t="n">
        <v>86.65000000000001</v>
      </c>
      <c r="L6" s="5" t="n">
        <v>85.65000000000001</v>
      </c>
      <c r="M6" s="5" t="n">
        <v>80.73</v>
      </c>
      <c r="N6" s="10">
        <f>N7/N5</f>
        <v/>
      </c>
    </row>
    <row r="7">
      <c r="A7" t="inlineStr">
        <is>
          <t>Ingresos brutos</t>
        </is>
      </c>
      <c r="B7" s="9">
        <f>B5*B6</f>
        <v/>
      </c>
      <c r="C7" s="9">
        <f>C5*C6</f>
        <v/>
      </c>
      <c r="D7" s="9">
        <f>D5*D6</f>
        <v/>
      </c>
      <c r="E7" s="9">
        <f>E5*E6</f>
        <v/>
      </c>
      <c r="F7" s="9">
        <f>F5*F6</f>
        <v/>
      </c>
      <c r="G7" s="9">
        <f>G5*G6</f>
        <v/>
      </c>
      <c r="H7" s="9">
        <f>H5*H6</f>
        <v/>
      </c>
      <c r="I7" s="9">
        <f>I5*I6</f>
        <v/>
      </c>
      <c r="J7" s="9">
        <f>J5*J6</f>
        <v/>
      </c>
      <c r="K7" s="9">
        <f>K5*K6</f>
        <v/>
      </c>
      <c r="L7" s="9">
        <f>L5*L6</f>
        <v/>
      </c>
      <c r="M7" s="9">
        <f>M5*M6</f>
        <v/>
      </c>
      <c r="N7" s="9">
        <f>SUM(B7:M7)</f>
        <v/>
      </c>
    </row>
    <row r="8">
      <c r="A8" t="inlineStr">
        <is>
          <t>Descuento</t>
        </is>
      </c>
      <c r="B8" s="9">
        <f>B7*Supuestos!$B$2</f>
        <v/>
      </c>
      <c r="C8" s="9">
        <f>C7*Supuestos!$B$2</f>
        <v/>
      </c>
      <c r="D8" s="9">
        <f>D7*Supuestos!$B$2</f>
        <v/>
      </c>
      <c r="E8" s="9">
        <f>E7*Supuestos!$B$2</f>
        <v/>
      </c>
      <c r="F8" s="9">
        <f>F7*Supuestos!F2</f>
        <v/>
      </c>
      <c r="G8" s="9">
        <f>G7*Supuestos!$B$2</f>
        <v/>
      </c>
      <c r="H8" s="9">
        <f>H7*Supuestos!$B$2</f>
        <v/>
      </c>
      <c r="I8" s="9">
        <f>I7*Supuestos!$B$2</f>
        <v/>
      </c>
      <c r="J8" s="9">
        <f>J7*Supuestos!$B$2</f>
        <v/>
      </c>
      <c r="K8" s="9">
        <f>K7*Supuestos!$B$2</f>
        <v/>
      </c>
      <c r="L8" s="9">
        <f>L7*Supuestos!$B$2</f>
        <v/>
      </c>
      <c r="M8" s="9">
        <f>M7*Supuestos!$B$2</f>
        <v/>
      </c>
      <c r="N8" s="9">
        <f>SUM(B8:M8)</f>
        <v/>
      </c>
    </row>
    <row r="9">
      <c r="A9" t="inlineStr">
        <is>
          <t>Ingresos netos</t>
        </is>
      </c>
      <c r="B9" s="9">
        <f>B7-B8</f>
        <v/>
      </c>
      <c r="C9" s="9">
        <f>C7-C8</f>
        <v/>
      </c>
      <c r="D9" s="9">
        <f>D7-D8</f>
        <v/>
      </c>
      <c r="E9" s="9">
        <f>E7-E8</f>
        <v/>
      </c>
      <c r="F9" s="9">
        <f>F7-F8</f>
        <v/>
      </c>
      <c r="G9" s="9">
        <f>G7-G8</f>
        <v/>
      </c>
      <c r="H9" s="9">
        <f>H7-H8</f>
        <v/>
      </c>
      <c r="I9" s="9">
        <f>I7-I8</f>
        <v/>
      </c>
      <c r="J9" s="9">
        <f>J7-J8</f>
        <v/>
      </c>
      <c r="K9" s="9">
        <f>K7-K8</f>
        <v/>
      </c>
      <c r="L9" s="9">
        <f>L7-L8</f>
        <v/>
      </c>
      <c r="M9" s="9">
        <f>M7-M8</f>
        <v/>
      </c>
      <c r="N9" s="9">
        <f>SUM(B9:L9)</f>
        <v/>
      </c>
    </row>
    <row r="10">
      <c r="A10" t="inlineStr">
        <is>
          <t>Coste de ventas</t>
        </is>
      </c>
      <c r="B10" s="9">
        <f>B5*Supuestos!$B$3</f>
        <v/>
      </c>
      <c r="C10" s="9">
        <f>C5*Supuestos!$B$3</f>
        <v/>
      </c>
      <c r="D10" s="9">
        <f>D5*Supuestos!$B$3</f>
        <v/>
      </c>
      <c r="E10" s="9">
        <f>E5*Supuestos!$B$3</f>
        <v/>
      </c>
      <c r="F10" s="9">
        <f>F5*Supuestos!$B$3</f>
        <v/>
      </c>
      <c r="G10" s="9">
        <f>G5*Supuestos!$B$3</f>
        <v/>
      </c>
      <c r="H10" s="9" t="n">
        <v>2627123</v>
      </c>
      <c r="I10" s="9">
        <f>I5*Supuestos!$B$3</f>
        <v/>
      </c>
      <c r="J10" s="9">
        <f>J5*Supuestos!$B$3</f>
        <v/>
      </c>
      <c r="K10" s="9">
        <f>K5*Supuestos!$B$3</f>
        <v/>
      </c>
      <c r="L10" s="9">
        <f>L5*Supuestos!$B$3</f>
        <v/>
      </c>
      <c r="M10" s="9">
        <f>M5*Supuestos!$B$3</f>
        <v/>
      </c>
      <c r="N10" s="9">
        <f>SUM(B10:M10)</f>
        <v/>
      </c>
    </row>
    <row r="11">
      <c r="A11" t="inlineStr">
        <is>
          <t>Margen bruto</t>
        </is>
      </c>
      <c r="B11" s="9">
        <f>B9-B10</f>
        <v/>
      </c>
      <c r="C11" s="9">
        <f>C9-C10</f>
        <v/>
      </c>
      <c r="D11" s="9">
        <f>D9-D10</f>
        <v/>
      </c>
      <c r="E11" s="9">
        <f>E9-E10</f>
        <v/>
      </c>
      <c r="F11" s="9">
        <f>F9-F10</f>
        <v/>
      </c>
      <c r="G11" s="9">
        <f>G9-G10</f>
        <v/>
      </c>
      <c r="H11" s="9">
        <f>H9-H10</f>
        <v/>
      </c>
      <c r="I11" s="9">
        <f>I9-I10</f>
        <v/>
      </c>
      <c r="J11" s="9">
        <f>J9-J10</f>
        <v/>
      </c>
      <c r="K11" s="9">
        <f>K9-K10</f>
        <v/>
      </c>
      <c r="L11" s="9">
        <f>L9-L10</f>
        <v/>
      </c>
      <c r="M11" s="9">
        <f>M9-M10</f>
        <v/>
      </c>
      <c r="N11" s="9">
        <f>SUM(B11:M11)</f>
        <v/>
      </c>
    </row>
    <row r="12">
      <c r="A12" t="inlineStr">
        <is>
          <t>Gastos fijos</t>
        </is>
      </c>
      <c r="B12" s="9">
        <f>Supuestos!$B$4</f>
        <v/>
      </c>
      <c r="C12" s="9">
        <f>Supuestos!$B$4</f>
        <v/>
      </c>
      <c r="D12" s="9">
        <f>Supuestos!$B$4</f>
        <v/>
      </c>
      <c r="E12" s="9">
        <f>Supuestos!$B$4</f>
        <v/>
      </c>
      <c r="F12" s="9">
        <f>Supuestos!$B$4</f>
        <v/>
      </c>
      <c r="G12" s="9">
        <f>Supuestos!$B$4</f>
        <v/>
      </c>
      <c r="H12" s="9">
        <f>Supuestos!$B$4</f>
        <v/>
      </c>
      <c r="I12" s="9">
        <f>Supuestos!$B$4</f>
        <v/>
      </c>
      <c r="J12" s="9">
        <f>Supuestos!$B$4</f>
        <v/>
      </c>
      <c r="K12" s="9">
        <f>Supuestos!$B$4</f>
        <v/>
      </c>
      <c r="L12" s="9">
        <f>Supuestos!$B$4</f>
        <v/>
      </c>
      <c r="M12" s="9">
        <f>Supuestos!$B$4</f>
        <v/>
      </c>
      <c r="N12" s="9">
        <f>SUM(B12:M12)</f>
        <v/>
      </c>
    </row>
    <row r="13">
      <c r="A13" t="inlineStr">
        <is>
          <t>EBIT</t>
        </is>
      </c>
      <c r="B13" s="9">
        <f>B11-B12</f>
        <v/>
      </c>
      <c r="C13" s="9">
        <f>C11-C12</f>
        <v/>
      </c>
      <c r="D13" s="9">
        <f>D11-D12</f>
        <v/>
      </c>
      <c r="E13" s="9">
        <f>E11-E12</f>
        <v/>
      </c>
      <c r="F13" s="9">
        <f>F11-F12</f>
        <v/>
      </c>
      <c r="G13" s="9">
        <f>G11-G12</f>
        <v/>
      </c>
      <c r="H13" s="9">
        <f>H11-H12</f>
        <v/>
      </c>
      <c r="I13" s="9">
        <f>I11-I12</f>
        <v/>
      </c>
      <c r="J13" s="9">
        <f>J11-J12</f>
        <v/>
      </c>
      <c r="K13" s="9">
        <f>K11-K12</f>
        <v/>
      </c>
      <c r="L13" s="9">
        <f>L11-L12</f>
        <v/>
      </c>
      <c r="M13" s="9">
        <f>M11-M12</f>
        <v/>
      </c>
      <c r="N13" s="9">
        <f>SUM(B13:M13)+B13</f>
        <v/>
      </c>
    </row>
    <row r="14">
      <c r="A14" t="inlineStr">
        <is>
          <t>Impuestos</t>
        </is>
      </c>
      <c r="B14" s="9">
        <f>MAX(0,B13)*Supuestos!$B$5</f>
        <v/>
      </c>
      <c r="C14" s="9">
        <f>MAX(0,C13)*Supuestos!$B$5</f>
        <v/>
      </c>
      <c r="D14" s="9">
        <f>MAX(0,D13)*Supuestos!$B$5</f>
        <v/>
      </c>
      <c r="E14" s="9">
        <f>MAX(0,E13)*Supuestos!$B$5</f>
        <v/>
      </c>
      <c r="F14" s="9">
        <f>MAX(0,F13)*Supuestos!$B$5</f>
        <v/>
      </c>
      <c r="G14" s="9">
        <f>MAX(0,G13)*Supuestos!$B$5</f>
        <v/>
      </c>
      <c r="H14" s="9">
        <f>MAX(0,H13)*Supuestos!$B$5</f>
        <v/>
      </c>
      <c r="I14" s="9">
        <f>MAX(0,I13)*Supuestos!$B$5</f>
        <v/>
      </c>
      <c r="J14" s="9">
        <f>MAX(0,J13)*Supuestos!$B$5</f>
        <v/>
      </c>
      <c r="K14" s="9">
        <f>MAX(0,K13)*Supuestos!$B$5</f>
        <v/>
      </c>
      <c r="L14" s="9">
        <f>MAX(0,L13)*Supuestos!$B$5</f>
        <v/>
      </c>
      <c r="M14" s="9">
        <f>MAX(0,M13)*Supuestos!$B$5</f>
        <v/>
      </c>
      <c r="N14" s="9">
        <f>SUM(B14:M14)</f>
        <v/>
      </c>
    </row>
    <row r="15">
      <c r="A15" t="inlineStr">
        <is>
          <t>Resultado neto</t>
        </is>
      </c>
      <c r="B15" s="9">
        <f>B13-B14</f>
        <v/>
      </c>
      <c r="C15" s="9">
        <f>C13-C14</f>
        <v/>
      </c>
      <c r="D15" s="9">
        <f>D13-D14</f>
        <v/>
      </c>
      <c r="E15" s="9">
        <f>E13-E14</f>
        <v/>
      </c>
      <c r="F15" s="9">
        <f>F13-F14</f>
        <v/>
      </c>
      <c r="G15" s="9">
        <f>G13-G14</f>
        <v/>
      </c>
      <c r="H15" s="9">
        <f>H13-H14</f>
        <v/>
      </c>
      <c r="I15" s="9">
        <f>I13-I14</f>
        <v/>
      </c>
      <c r="J15" s="9">
        <f>J13-J14</f>
        <v/>
      </c>
      <c r="K15" s="9">
        <f>K13-K14</f>
        <v/>
      </c>
      <c r="L15" s="9">
        <f>L13-L14</f>
        <v/>
      </c>
      <c r="M15" s="9">
        <f>M13-M14</f>
        <v/>
      </c>
      <c r="N15" s="9">
        <f>SUM(B15:M15)</f>
        <v/>
      </c>
    </row>
    <row r="16">
      <c r="A16" t="inlineStr">
        <is>
          <t>Margen bruto % s/ ingresos netos</t>
        </is>
      </c>
      <c r="B16" s="11">
        <f>B11/B9</f>
        <v/>
      </c>
      <c r="C16" s="11">
        <f>C11/C9</f>
        <v/>
      </c>
      <c r="D16" s="11">
        <f>D11/D9</f>
        <v/>
      </c>
      <c r="E16" s="11">
        <f>E11/E9</f>
        <v/>
      </c>
      <c r="F16" s="11">
        <f>F11/F9</f>
        <v/>
      </c>
      <c r="G16" s="11">
        <f>G11/G9</f>
        <v/>
      </c>
      <c r="H16" s="11">
        <f>H11/H9</f>
        <v/>
      </c>
      <c r="I16" s="11">
        <f>I11/I9</f>
        <v/>
      </c>
      <c r="J16" s="11">
        <f>J11/J10</f>
        <v/>
      </c>
      <c r="K16" s="11">
        <f>K11/K9</f>
        <v/>
      </c>
      <c r="L16" s="11">
        <f>L11/L9</f>
        <v/>
      </c>
      <c r="M16" s="11">
        <f>M11/M9</f>
        <v/>
      </c>
      <c r="N16" s="11">
        <f>N11/N9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22" customWidth="1" min="3" max="3"/>
    <col width="22" customWidth="1" min="4" max="4"/>
    <col width="12" customWidth="1" min="5" max="5"/>
  </cols>
  <sheetData>
    <row r="1">
      <c r="A1" s="3" t="inlineStr">
        <is>
          <t>Autocomprobación</t>
        </is>
      </c>
    </row>
    <row r="3">
      <c r="A3" s="12" t="inlineStr">
        <is>
          <t>Nº</t>
        </is>
      </c>
      <c r="B3" s="12" t="inlineStr">
        <is>
          <t>Qué se comprueba</t>
        </is>
      </c>
      <c r="C3" s="12" t="inlineStr">
        <is>
          <t>Tu respuesta</t>
        </is>
      </c>
      <c r="D3" s="12" t="inlineStr">
        <is>
          <t>Esperado</t>
        </is>
      </c>
      <c r="E3" s="12" t="inlineStr">
        <is>
          <t>Resultado</t>
        </is>
      </c>
    </row>
    <row r="4">
      <c r="A4" t="n">
        <v>1</v>
      </c>
      <c r="B4" s="2" t="inlineStr">
        <is>
          <t>Ingresos netos totales (Modelo!N9)</t>
        </is>
      </c>
      <c r="C4">
        <f>IF(Modelo!N9="","",Modelo!N9)</f>
        <v/>
      </c>
      <c r="D4" t="n">
        <v>42570224.28</v>
      </c>
      <c r="E4">
        <f>IF(C4="","—",IF(ISNUMBER(D4),IF(ISNUMBER(C4),IF(ABS(C4-D4)&lt;=0.5,"✔","✘"),"✘"),IF(C4=D4,"✔","✘")))</f>
        <v/>
      </c>
    </row>
    <row r="5">
      <c r="A5" t="n">
        <v>2</v>
      </c>
      <c r="B5" s="2" t="inlineStr">
        <is>
          <t>Coste de ventas total (Modelo!N10)</t>
        </is>
      </c>
      <c r="C5">
        <f>IF(Modelo!N10="","",Modelo!N10)</f>
        <v/>
      </c>
      <c r="D5" t="n">
        <v>25494661.82</v>
      </c>
      <c r="E5">
        <f>IF(C5="","—",IF(ISNUMBER(D5),IF(ISNUMBER(C5),IF(ABS(C5-D5)&lt;=0.5,"✔","✘"),"✘"),IF(C5=D5,"✔","✘")))</f>
        <v/>
      </c>
    </row>
    <row r="6">
      <c r="A6" t="n">
        <v>3</v>
      </c>
      <c r="B6" s="2" t="inlineStr">
        <is>
          <t>Descuento de mayo (Modelo!F8)</t>
        </is>
      </c>
      <c r="C6">
        <f>IF(Modelo!F8="","",Modelo!F8)</f>
        <v/>
      </c>
      <c r="D6" t="n">
        <v>284309.64</v>
      </c>
      <c r="E6">
        <f>IF(C6="","—",IF(ISNUMBER(D6),IF(ISNUMBER(C6),IF(ABS(C6-D6)&lt;=0.5,"✔","✘"),"✘"),IF(C6=D6,"✔","✘")))</f>
        <v/>
      </c>
    </row>
    <row r="7">
      <c r="A7" t="n">
        <v>4</v>
      </c>
      <c r="B7" s="2" t="inlineStr">
        <is>
          <t>Unidades totales (Modelo!N5)</t>
        </is>
      </c>
      <c r="C7">
        <f>IF(Modelo!N5="","",Modelo!N5)</f>
        <v/>
      </c>
      <c r="D7" t="n">
        <v>570478</v>
      </c>
      <c r="E7">
        <f>IF(C7="","—",IF(ISNUMBER(D7),IF(ISNUMBER(C7),IF(ABS(C7-D7)&lt;=0.5,"✔","✘"),"✘"),IF(C7=D7,"✔","✘")))</f>
        <v/>
      </c>
    </row>
    <row r="8">
      <c r="A8" t="n">
        <v>5</v>
      </c>
      <c r="B8" s="2" t="inlineStr">
        <is>
          <t>Margen bruto % de septiembre (Modelo!J16)</t>
        </is>
      </c>
      <c r="C8">
        <f>IF(Modelo!J16="","",Modelo!J16)</f>
        <v/>
      </c>
      <c r="D8" t="n">
        <v>0.4386</v>
      </c>
      <c r="E8">
        <f>IF(C8="","—",IF(ISNUMBER(D8),IF(ISNUMBER(C8),IF(ABS(C8-D8)&lt;=0.0005,"✔","✘"),"✘"),IF(C8=D8,"✔","✘")))</f>
        <v/>
      </c>
    </row>
    <row r="9">
      <c r="A9" t="n">
        <v>6</v>
      </c>
      <c r="B9" s="2" t="inlineStr">
        <is>
          <t>Impuestos totales (Modelo!N14)</t>
        </is>
      </c>
      <c r="C9">
        <f>IF(Modelo!N14="","",Modelo!N14)</f>
        <v/>
      </c>
      <c r="D9" t="n">
        <v>2245228.12</v>
      </c>
      <c r="E9">
        <f>IF(C9="","—",IF(ISNUMBER(D9),IF(ISNUMBER(C9),IF(ABS(C9-D9)&lt;=0.5,"✔","✘"),"✘"),IF(C9=D9,"✔","✘")))</f>
        <v/>
      </c>
    </row>
    <row r="10">
      <c r="A10" t="n">
        <v>7</v>
      </c>
      <c r="B10" s="2" t="inlineStr">
        <is>
          <t>EBIT total (Modelo!N13)</t>
        </is>
      </c>
      <c r="C10">
        <f>IF(Modelo!N13="","",Modelo!N13)</f>
        <v/>
      </c>
      <c r="D10" t="n">
        <v>10691562.46</v>
      </c>
      <c r="E10">
        <f>IF(C10="","—",IF(ISNUMBER(D10),IF(ISNUMBER(C10),IF(ABS(C10-D10)&lt;=0.5,"✔","✘"),"✘"),IF(C10=D10,"✔","✘")))</f>
        <v/>
      </c>
    </row>
    <row r="11">
      <c r="A11" t="n">
        <v>8</v>
      </c>
      <c r="B11" s="2" t="inlineStr">
        <is>
          <t>Coste de ventas de julio (Modelo!H10)</t>
        </is>
      </c>
      <c r="C11">
        <f>IF(Modelo!H10="","",Modelo!H10)</f>
        <v/>
      </c>
      <c r="D11" t="n">
        <v>2432521.39</v>
      </c>
      <c r="E11">
        <f>IF(C11="","—",IF(ISNUMBER(D11),IF(ISNUMBER(C11),IF(ABS(C11-D11)&lt;=0.5,"✔","✘"),"✘"),IF(C11=D11,"✔","✘")))</f>
        <v/>
      </c>
    </row>
    <row r="13">
      <c r="B13" s="8" t="inlineStr">
        <is>
          <t>Resumen</t>
        </is>
      </c>
      <c r="C13">
        <f>COUNTIF(E4:E11,"✔")&amp;" de "&amp;ROWS(E4:E11)&amp;" correctas"</f>
        <v/>
      </c>
    </row>
  </sheetData>
  <conditionalFormatting sqref="E4:E11">
    <cfRule type="cellIs" priority="1" operator="equal" dxfId="0">
      <formula>"✔"</formula>
    </cfRule>
    <cfRule type="cellIs" priority="2" operator="equal" dxfId="1">
      <formula>"✘"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2026-10-14T07:47:10Z</dcterms:created>
  <dcterms:modified xsi:type="dcterms:W3CDTF">2026-10-14T07:47:10Z</dcterms:modified>
</cp:coreProperties>
</file>