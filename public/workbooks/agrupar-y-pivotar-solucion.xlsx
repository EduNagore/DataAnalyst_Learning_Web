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 · SOLUCIÓN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Importe total del canal «online».</t>
        </is>
      </c>
      <c r="C4" s="5">
        <f>SUMIFS(Pedidos!$G$2:$G$2001,Pedidos!$D$2:$D$2001,"online")</f>
        <v/>
      </c>
      <c r="D4" s="2" t="inlineStr">
        <is>
          <t>AGRUPARPOR / GROUPBY, SUMAR.SI.CONJUNTO / SUMIFS</t>
        </is>
      </c>
      <c r="E4" s="2" t="inlineStr">
        <is>
          <t>=SUMAR.SI.CONJUNTO(tblPedidos[importe]; tblPedidos[channel]; "online")   (o AGRUPARPOR)</t>
        </is>
      </c>
    </row>
    <row r="5">
      <c r="A5" t="n">
        <v>2</v>
      </c>
      <c r="B5" s="2" t="inlineStr">
        <is>
          <t>Importe total del canal «store».</t>
        </is>
      </c>
      <c r="C5" s="5">
        <f>SUMIFS(Pedidos!$G$2:$G$2001,Pedidos!$D$2:$D$2001,"store")</f>
        <v/>
      </c>
      <c r="D5" s="2" t="inlineStr">
        <is>
          <t>AGRUPARPOR / GROUPBY</t>
        </is>
      </c>
      <c r="E5" s="2" t="inlineStr">
        <is>
          <t>=AGRUPARPOR(tblPedidos[channel]; tblPedidos[importe]; SUMA)</t>
        </is>
      </c>
    </row>
    <row r="6">
      <c r="A6" t="n">
        <v>3</v>
      </c>
      <c r="B6" s="2" t="inlineStr">
        <is>
          <t>Número de pedidos cancelados del canal «online».</t>
        </is>
      </c>
      <c r="C6" s="5">
        <f>COUNTIFS(Pedidos!$D$2:$D$2001,"online",Pedidos!$F$2:$F$2001,"cancelado")</f>
        <v/>
      </c>
      <c r="D6" s="2" t="inlineStr">
        <is>
          <t>PIVOTARPOR / PIVOTBY, CONTAR.SI.CONJUNTO / COUNTIFS</t>
        </is>
      </c>
      <c r="E6" s="2" t="inlineStr">
        <is>
          <t>=PIVOTARPOR(tblPedidos[channel]; tblPedidos[status]; tblPedidos[order_id]; CONTARA)</t>
        </is>
      </c>
    </row>
    <row r="7">
      <c r="A7" t="n">
        <v>4</v>
      </c>
      <c r="B7" s="2" t="inlineStr">
        <is>
          <t>Número total de pedidos con estado «devuelto_parcial».</t>
        </is>
      </c>
      <c r="C7" s="5">
        <f>COUNTIF(Pedidos!$F$2:$F$2001,"devuelto_parcial")</f>
        <v/>
      </c>
      <c r="D7" s="2" t="inlineStr">
        <is>
          <t>CONTAR.SI / COUNTIF</t>
        </is>
      </c>
      <c r="E7" s="2" t="inlineStr">
        <is>
          <t>=CONTAR.SI(tblPedidos[status]; "devuelto_parcial")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>
        <f>SUMIFS(Pedidos!$G$2:$G$2001,Pedidos!$D$2:$D$2001,"online")+SUMIFS(Pedidos!$G$2:$G$2001,Pedidos!$D$2:$D$2001,"store")-SUM(Pedidos!$G$2:$G$2001)</f>
        <v/>
      </c>
      <c r="D8" s="2" t="inlineStr">
        <is>
          <t>SUMA / SUM</t>
        </is>
      </c>
      <c r="E8" s="2" t="inlineStr">
        <is>
          <t>=SUMA(tabla dinámica o AGRUPARPOR por canal) - SUMA(tblPedidos[importe])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2026-10-14T07:47:09Z</dcterms:created>
  <dcterms:modified xsi:type="dcterms:W3CDTF">2026-10-14T07:47:10Z</dcterms:modified>
</cp:coreProperties>
</file>