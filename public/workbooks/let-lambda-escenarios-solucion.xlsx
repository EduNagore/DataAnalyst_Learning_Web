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 · SOLUCIÓN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>
        <f>(SUM(Pedidos!$G$2:$G$2001)-SUM(Pedidos!$H$2:$H$2001))/SUM(Pedidos!$G$2:$G$2001)</f>
        <v/>
      </c>
      <c r="D4" s="2" t="inlineStr">
        <is>
          <t>LET</t>
        </is>
      </c>
      <c r="E4" s="2" t="inlineStr">
        <is>
          <t>=LET(ing; SUMA(tblPedidos[importe]); cos; SUMA(tblPedidos[coste]); (ing-cos)/ing)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>
        <f>(SUMIFS(Pedidos!$G$2:$G$2001,Pedidos!$E$2:$E$2001,"&gt;=0.2")-SUMIFS(Pedidos!$H$2:$H$2001,Pedidos!$E$2:$E$2001,"&gt;=0.2"))/SUMIFS(Pedidos!$G$2:$G$2001,Pedidos!$E$2:$E$2001,"&gt;=0.2")</f>
        <v/>
      </c>
      <c r="D5" s="2" t="inlineStr">
        <is>
          <t>LET, FILTRAR / FILTER</t>
        </is>
      </c>
      <c r="E5" s="2" t="inlineStr">
        <is>
          <t>=LET(f; tblPedidos[discount_pct]&gt;=0,2; ing; SUMA(FILTRAR(tblPedidos[importe]; f)); cos; SUMA(FILTRAR(tblPedidos[coste]; f)); (ing-cos)/ing)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>
        <f>(200-130)/200</f>
        <v/>
      </c>
      <c r="D6" s="2" t="inlineStr">
        <is>
          <t>LAMBDA</t>
        </is>
      </c>
      <c r="E6" s="2" t="inlineStr">
        <is>
          <t>=MARGEN(200; 130)   con   MARGEN = LAMBDA(importe; coste; (importe-coste)/importe)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>
        <f>SUMPRODUCT(Pedidos!$G$2:$G$2001*(1-(Pedidos!$E$2:$E$2001-0.05)*(Pedidos!$E$2:$E$2001&gt;0.05))/(1-Pedidos!$E$2:$E$2001))</f>
        <v/>
      </c>
      <c r="D7" s="2" t="inlineStr">
        <is>
          <t>LET, SI / IF</t>
        </is>
      </c>
      <c r="E7" s="2" t="inlineStr">
        <is>
          <t>=LET(d; tblPedidos[discount_pct]; nd; SI(d&gt;0,05; d-0,05; 0); SUMA(tblPedidos[importe]*(1-nd)/(1-d)))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>
        <f>SUMPRODUCT((SUMIF(Pedidos!$B$2:$B$2001,Pedidos!$B$2:$B$2001,Pedidos!$G$2:$G$2001)&gt;500)/COUNTIF(Pedidos!$B$2:$B$2001,Pedidos!$B$2:$B$2001))</f>
        <v/>
      </c>
      <c r="D8" s="2" t="inlineStr">
        <is>
          <t>LET, UNICOS / UNIQUE, SUMAR.SI / SUMIF</t>
        </is>
      </c>
      <c r="E8" s="2" t="inlineStr">
        <is>
          <t>=LET(cl; UNICOS(tblPedidos[customer_id]); tot; SUMAR.SI(tblPedidos[customer_id]; cl; tblPedidos[importe]); SUMA(--(tot&gt;500)))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2026-10-14T07:47:09Z</dcterms:created>
  <dcterms:modified xsi:type="dcterms:W3CDTF">2026-10-14T07:47:09Z</dcterms:modified>
</cp:coreProperties>
</file>