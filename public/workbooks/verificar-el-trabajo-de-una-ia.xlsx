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upuestos" sheetId="2" state="visible" r:id="rId2"/>
    <sheet name="Prevision" sheetId="3" state="visible" r:id="rId3"/>
    <sheet name="Comprob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Verificar el trabajo de una IA</t>
        </is>
      </c>
    </row>
    <row r="2">
      <c r="A2" s="2" t="inlineStr"/>
    </row>
    <row r="3">
      <c r="A3" s="2" t="inlineStr">
        <is>
          <t>Situación: un asistente de IA actualizó la hipótesis de descuento de un modelo de previsión por segmento.</t>
        </is>
      </c>
    </row>
    <row r="4">
      <c r="A4" s="2" t="inlineStr">
        <is>
          <t>El resultado «tiene buena pinta», pero el asistente cometió CUATRO errores plausibles.</t>
        </is>
      </c>
    </row>
    <row r="5">
      <c r="A5" s="2" t="inlineStr">
        <is>
          <t>Objetivo: aplicar el protocolo de cuatro controles (cuadre, muestreo, fórmulas visibles, casos límite),</t>
        </is>
      </c>
    </row>
    <row r="6">
      <c r="A6" s="2" t="inlineStr">
        <is>
          <t>encontrar los errores, corregirlos y dejar todos los controles de «Comprobacion» en ✔.</t>
        </is>
      </c>
    </row>
    <row r="7">
      <c r="A7" s="2" t="inlineStr">
        <is>
          <t>Importes en miles de euros (2025, pedidos completados).</t>
        </is>
      </c>
    </row>
    <row r="8">
      <c r="A8" s="2" t="inlineStr"/>
    </row>
    <row r="9">
      <c r="A9" s="2" t="inlineStr">
        <is>
          <t>Cómo se corrige: la hoja «Comprobacion» compara tu respuesta con el valor esperado y marca ✔ o ✘.</t>
        </is>
      </c>
    </row>
    <row r="10">
      <c r="A10" s="2" t="inlineStr">
        <is>
          <t>Datos: muestra reproducible del dataset sintético Lumen (semilla fija). No son datos reales.</t>
        </is>
      </c>
    </row>
    <row r="11">
      <c r="A11" s="2" t="inlineStr">
        <is>
          <t>Nombres de función: se muestran en español / inglés. El archivo guarda siempre los nombres en inglés.</t>
        </is>
      </c>
    </row>
    <row r="12">
      <c r="A12" s="2" t="inlineStr">
        <is>
          <t>Separadores: en un Excel en español de España los argumentos se separan con «;» y el decimal es «,».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Supuestos</t>
        </is>
      </c>
    </row>
    <row r="2">
      <c r="A2" t="inlineStr">
        <is>
          <t>Descuento objetivo</t>
        </is>
      </c>
      <c r="B2" s="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Segmento</t>
        </is>
      </c>
      <c r="B1" s="5" t="inlineStr">
        <is>
          <t>Ingresos 2025</t>
        </is>
      </c>
      <c r="C1" s="5" t="inlineStr">
        <is>
          <t>Coste 2025</t>
        </is>
      </c>
      <c r="D1" s="5" t="inlineStr">
        <is>
          <t>Descuento actual</t>
        </is>
      </c>
      <c r="E1" s="5" t="inlineStr">
        <is>
          <t>Ingresos escenario</t>
        </is>
      </c>
      <c r="F1" s="5" t="inlineStr">
        <is>
          <t>Coste escenario</t>
        </is>
      </c>
      <c r="G1" s="5" t="inlineStr">
        <is>
          <t>Margen</t>
        </is>
      </c>
      <c r="H1" s="5" t="inlineStr">
        <is>
          <t>Margen %</t>
        </is>
      </c>
    </row>
    <row r="2">
      <c r="A2" t="inlineStr">
        <is>
          <t>nuevo</t>
        </is>
      </c>
      <c r="B2" s="4" t="n">
        <v>6104</v>
      </c>
      <c r="C2" s="4" t="n">
        <v>3926</v>
      </c>
      <c r="D2" s="6" t="n">
        <v>0.107</v>
      </c>
      <c r="E2">
        <f>B2*(1-Supuestos!$B$2)/(1-D2)</f>
        <v/>
      </c>
      <c r="F2">
        <f>C2</f>
        <v/>
      </c>
      <c r="G2">
        <f>E2-F2</f>
        <v/>
      </c>
      <c r="H2" s="7">
        <f>G2/E2</f>
        <v/>
      </c>
    </row>
    <row r="3">
      <c r="A3" t="inlineStr">
        <is>
          <t>ocasional</t>
        </is>
      </c>
      <c r="B3" s="4" t="n">
        <v>9309</v>
      </c>
      <c r="C3" s="4" t="n">
        <v>5972</v>
      </c>
      <c r="D3" s="6" t="n">
        <v>0.107</v>
      </c>
      <c r="E3">
        <f>B3*(1-Supuestos!$B$2)/(1-D3)</f>
        <v/>
      </c>
      <c r="F3">
        <f>C3</f>
        <v/>
      </c>
      <c r="G3">
        <f>E3-F3</f>
        <v/>
      </c>
      <c r="H3" s="7">
        <f>G3/B3</f>
        <v/>
      </c>
    </row>
    <row r="4">
      <c r="A4" t="inlineStr">
        <is>
          <t>habitual</t>
        </is>
      </c>
      <c r="B4" s="4" t="n">
        <v>17374</v>
      </c>
      <c r="C4" s="4" t="n">
        <v>11187</v>
      </c>
      <c r="D4" s="6" t="n">
        <v>0.107</v>
      </c>
      <c r="E4">
        <f>B4*(1-Supuestos!$B$2)/(1-D4)</f>
        <v/>
      </c>
      <c r="F4">
        <f>C4</f>
        <v/>
      </c>
      <c r="G4" t="n">
        <v>5518.7</v>
      </c>
      <c r="H4" s="7">
        <f>G4/E4</f>
        <v/>
      </c>
    </row>
    <row r="5">
      <c r="A5" t="inlineStr">
        <is>
          <t>vip</t>
        </is>
      </c>
      <c r="B5" s="4" t="n">
        <v>13498</v>
      </c>
      <c r="C5" s="4" t="n">
        <v>8679</v>
      </c>
      <c r="D5" s="6" t="n">
        <v>0.109</v>
      </c>
      <c r="E5">
        <f>B5*(1-Supuestos!$B$2)/(1-D5)</f>
        <v/>
      </c>
      <c r="F5">
        <f>C5</f>
        <v/>
      </c>
      <c r="G5">
        <f>E5-F5</f>
        <v/>
      </c>
      <c r="H5" s="7">
        <f>G5/E5</f>
        <v/>
      </c>
    </row>
    <row r="6">
      <c r="A6" s="8" t="inlineStr">
        <is>
          <t>Total</t>
        </is>
      </c>
      <c r="B6" s="8">
        <f>SUM(B2:B5)</f>
        <v/>
      </c>
      <c r="C6" s="8">
        <f>SUM(C2:C5)</f>
        <v/>
      </c>
      <c r="D6" s="8" t="n"/>
      <c r="E6" s="8">
        <f>SUM(E2:E4)</f>
        <v/>
      </c>
      <c r="F6" s="8">
        <f>SUM(F2:F5)</f>
        <v/>
      </c>
      <c r="G6" s="8">
        <f>SUM(G2:G5)</f>
        <v/>
      </c>
      <c r="H6" s="9">
        <f>G6/E6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5" t="inlineStr">
        <is>
          <t>Nº</t>
        </is>
      </c>
      <c r="B3" s="5" t="inlineStr">
        <is>
          <t>Qué se comprueba</t>
        </is>
      </c>
      <c r="C3" s="5" t="inlineStr">
        <is>
          <t>Tu respuesta</t>
        </is>
      </c>
      <c r="D3" s="5" t="inlineStr">
        <is>
          <t>Esperado</t>
        </is>
      </c>
      <c r="E3" s="5" t="inlineStr">
        <is>
          <t>Resultado</t>
        </is>
      </c>
    </row>
    <row r="4">
      <c r="A4" t="n">
        <v>1</v>
      </c>
      <c r="B4" s="2" t="inlineStr">
        <is>
          <t>Ingresos escenario total (Prevision!E6)</t>
        </is>
      </c>
      <c r="C4">
        <f>IF(Prevision!E6="","",Prevision!E6)</f>
        <v/>
      </c>
      <c r="D4" t="n">
        <v>45641.06</v>
      </c>
      <c r="E4">
        <f>IF(C4="","—",IF(ISNUMBER(D4),IF(ISNUMBER(C4),IF(ABS(C4-D4)&lt;=0.5,"✔","✘"),"✘"),IF(C4=D4,"✔","✘")))</f>
        <v/>
      </c>
    </row>
    <row r="5">
      <c r="A5" t="n">
        <v>2</v>
      </c>
      <c r="B5" s="2" t="inlineStr">
        <is>
          <t>Margen % del segmento ocasional (Prevision!H3)</t>
        </is>
      </c>
      <c r="C5">
        <f>IF(Prevision!H3="","",Prevision!H3)</f>
        <v/>
      </c>
      <c r="D5" t="n">
        <v>0.349</v>
      </c>
      <c r="E5">
        <f>IF(C5="","—",IF(ISNUMBER(D5),IF(ISNUMBER(C5),IF(ABS(C5-D5)&lt;=0.0005,"✔","✘"),"✘"),IF(C5=D5,"✔","✘")))</f>
        <v/>
      </c>
    </row>
    <row r="6">
      <c r="A6" t="n">
        <v>3</v>
      </c>
      <c r="B6" s="2" t="inlineStr">
        <is>
          <t>Margen % del segmento habitual (Prevision!H4)</t>
        </is>
      </c>
      <c r="C6">
        <f>IF(Prevision!H4="","",Prevision!H4)</f>
        <v/>
      </c>
      <c r="D6" t="n">
        <v>0.3466</v>
      </c>
      <c r="E6">
        <f>IF(C6="","—",IF(ISNUMBER(D6),IF(ISNUMBER(C6),IF(ABS(C6-D6)&lt;=0.0005,"✔","✘"),"✘"),IF(C6=D6,"✔","✘")))</f>
        <v/>
      </c>
    </row>
    <row r="7">
      <c r="A7" t="n">
        <v>4</v>
      </c>
      <c r="B7" s="2" t="inlineStr">
        <is>
          <t>Margen del segmento habitual (Prevision!G4)</t>
        </is>
      </c>
      <c r="C7">
        <f>IF(Prevision!G4="","",Prevision!G4)</f>
        <v/>
      </c>
      <c r="D7" t="n">
        <v>5934.08</v>
      </c>
      <c r="E7">
        <f>IF(C7="","—",IF(ISNUMBER(D7),IF(ISNUMBER(C7),IF(ABS(C7-D7)&lt;=0.5,"✔","✘"),"✘"),IF(C7=D7,"✔","✘")))</f>
        <v/>
      </c>
    </row>
    <row r="8">
      <c r="A8" t="n">
        <v>5</v>
      </c>
      <c r="B8" s="2" t="inlineStr">
        <is>
          <t>Margen total (Prevision!G6)</t>
        </is>
      </c>
      <c r="C8">
        <f>IF(Prevision!G6="","",Prevision!G6)</f>
        <v/>
      </c>
      <c r="D8" t="n">
        <v>15877.06</v>
      </c>
      <c r="E8">
        <f>IF(C8="","—",IF(ISNUMBER(D8),IF(ISNUMBER(C8),IF(ABS(C8-D8)&lt;=0.5,"✔","✘"),"✘"),IF(C8=D8,"✔","✘")))</f>
        <v/>
      </c>
    </row>
    <row r="9">
      <c r="A9" t="n">
        <v>6</v>
      </c>
      <c r="B9" s="2" t="inlineStr">
        <is>
          <t>Margen % total (Prevision!H6)</t>
        </is>
      </c>
      <c r="C9">
        <f>IF(Prevision!H6="","",Prevision!H6)</f>
        <v/>
      </c>
      <c r="D9" t="n">
        <v>0.3479</v>
      </c>
      <c r="E9">
        <f>IF(C9="","—",IF(ISNUMBER(D9),IF(ISNUMBER(C9),IF(ABS(C9-D9)&lt;=0.0005,"✔","✘"),"✘"),IF(C9=D9,"✔","✘")))</f>
        <v/>
      </c>
    </row>
    <row r="11">
      <c r="B11" s="8" t="inlineStr">
        <is>
          <t>Resumen</t>
        </is>
      </c>
      <c r="C11">
        <f>COUNTIF(E4:E9,"✔")&amp;" de "&amp;ROWS(E4:E9)&amp;" correctas"</f>
        <v/>
      </c>
    </row>
  </sheetData>
  <conditionalFormatting sqref="E4:E9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2026-10-14T07:47:11Z</dcterms:created>
  <dcterms:modified xsi:type="dcterms:W3CDTF">2026-10-14T07:47:11Z</dcterms:modified>
</cp:coreProperties>
</file>